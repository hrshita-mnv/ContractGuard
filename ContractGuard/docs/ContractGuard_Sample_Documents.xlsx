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  <sheet name="RA Bill 1" sheetId="2" state="visible" r:id="rId4"/>
    <sheet name="RA Bill 2" sheetId="3" state="visible" r:id="rId5"/>
    <sheet name="RA Bill 3" sheetId="4" state="visible" r:id="rId6"/>
    <sheet name="ANSWER KEY (internal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<sst xmlns="http://schemas.openxmlformats.org/spreadsheetml/2006/main" count="139" uniqueCount="71">
  <si>
    <t xml:space="preserve">BILL OF QUANTITIES (BOQ)</t>
  </si>
  <si>
    <t xml:space="preserve">Project: Shree Balaji Residency, Block B  |  Contractor: M/s Verma Constructions  |  Agreement No. SBR/2026/014  |  Date: 15-Mar-2026</t>
  </si>
  <si>
    <t xml:space="preserve">Item</t>
  </si>
  <si>
    <t xml:space="preserve">Description</t>
  </si>
  <si>
    <t xml:space="preserve">Unit</t>
  </si>
  <si>
    <t xml:space="preserve">BOQ Qty</t>
  </si>
  <si>
    <t xml:space="preserve">Rate (INR)</t>
  </si>
  <si>
    <t xml:space="preserve">Amount (INR)</t>
  </si>
  <si>
    <t xml:space="preserve">GST %</t>
  </si>
  <si>
    <t xml:space="preserve">Earthwork excavation in foundation</t>
  </si>
  <si>
    <t xml:space="preserve">m3</t>
  </si>
  <si>
    <t xml:space="preserve">PCC 1:4:8 in foundation</t>
  </si>
  <si>
    <t xml:space="preserve">RCC M25 in footings &amp; columns</t>
  </si>
  <si>
    <t xml:space="preserve">Steel reinforcement Fe500</t>
  </si>
  <si>
    <t xml:space="preserve">MT</t>
  </si>
  <si>
    <t xml:space="preserve">Brickwork 230 mm in CM 1:6</t>
  </si>
  <si>
    <t xml:space="preserve">m2</t>
  </si>
  <si>
    <t xml:space="preserve">Internal plaster 12 mm</t>
  </si>
  <si>
    <t xml:space="preserve">External plaster 18 mm</t>
  </si>
  <si>
    <t xml:space="preserve">Vitrified tile flooring 600x600</t>
  </si>
  <si>
    <t xml:space="preserve">Terrace waterproofing (membrane)</t>
  </si>
  <si>
    <t xml:space="preserve">Aluminium sliding windows</t>
  </si>
  <si>
    <t xml:space="preserve">Flush doors incl. frame &amp; fittings</t>
  </si>
  <si>
    <t xml:space="preserve">Nos</t>
  </si>
  <si>
    <t xml:space="preserve">Interior painting, 2 coats emulsion</t>
  </si>
  <si>
    <t xml:space="preserve">Electrical wiring points (concealed)</t>
  </si>
  <si>
    <t xml:space="preserve">CPVC water supply piping</t>
  </si>
  <si>
    <t xml:space="preserve">m</t>
  </si>
  <si>
    <t xml:space="preserve">Supply of OPC 43 grade cement</t>
  </si>
  <si>
    <t xml:space="preserve">Bags</t>
  </si>
  <si>
    <t xml:space="preserve">TOTAL (excl. GST)</t>
  </si>
  <si>
    <t xml:space="preserve">RUNNING ACCOUNT BILL — RA BILL No. 1</t>
  </si>
  <si>
    <t xml:space="preserve">Project: Shree Balaji Residency, Block B  |  Contractor: M/s Verma Constructions  |  Bill Date: 31-Mar-2026</t>
  </si>
  <si>
    <t xml:space="preserve">BOQ Rate</t>
  </si>
  <si>
    <t xml:space="preserve">Cum. Qty (prev.)</t>
  </si>
  <si>
    <t xml:space="preserve">Cum. Qty (to date)</t>
  </si>
  <si>
    <t xml:space="preserve">Qty This Bill</t>
  </si>
  <si>
    <t xml:space="preserve">Rate Charged</t>
  </si>
  <si>
    <t xml:space="preserve">GST Amt (INR)</t>
  </si>
  <si>
    <t xml:space="preserve">Line Total (INR)</t>
  </si>
  <si>
    <t xml:space="preserve">BILL TOTAL</t>
  </si>
  <si>
    <t xml:space="preserve">Certified by Site Engineer. Measurement Book Ref: MB-01/2026.</t>
  </si>
  <si>
    <t xml:space="preserve">RUNNING ACCOUNT BILL — RA BILL No. 2</t>
  </si>
  <si>
    <t xml:space="preserve">Project: Shree Balaji Residency, Block B  |  Contractor: M/s Verma Constructions  |  Bill Date: 30-Apr-2026</t>
  </si>
  <si>
    <t xml:space="preserve">Certified by Site Engineer. Measurement Book Ref: MB-02/2026.</t>
  </si>
  <si>
    <t xml:space="preserve">RUNNING ACCOUNT BILL — RA BILL No. 3</t>
  </si>
  <si>
    <t xml:space="preserve">Project: Shree Balaji Residency, Block B  |  Contractor: M/s Verma Constructions  |  Bill Date: 31-May-2026</t>
  </si>
  <si>
    <t xml:space="preserve">Certified by Site Engineer. Measurement Book Ref: MB-03/2026.</t>
  </si>
  <si>
    <t xml:space="preserve">PLANTED ERRORS — TEAM REFERENCE ONLY (do not show in demo)</t>
  </si>
  <si>
    <t xml:space="preserve">#</t>
  </si>
  <si>
    <t xml:space="preserve">Location</t>
  </si>
  <si>
    <t xml:space="preserve">Error type</t>
  </si>
  <si>
    <t xml:space="preserve">Detail</t>
  </si>
  <si>
    <t xml:space="preserve">Financial impact</t>
  </si>
  <si>
    <t xml:space="preserve">E1</t>
  </si>
  <si>
    <t xml:space="preserve">RA Bill 1, Item 4 (Steel)</t>
  </si>
  <si>
    <t xml:space="preserve">Wrong GST rate</t>
  </si>
  <si>
    <t xml:space="preserve">Steel reinforcement charged 28% GST; correct rate is 18%. Excess GST on 15 MT x 78,000 = 11,70,000 base.</t>
  </si>
  <si>
    <t xml:space="preserve">Excess GST = 11,70,000 x 10% = INR 1,17,000</t>
  </si>
  <si>
    <t xml:space="preserve">E2</t>
  </si>
  <si>
    <t xml:space="preserve">RA Bill 2, Item 5 (Brickwork)</t>
  </si>
  <si>
    <t xml:space="preserve">Rate drift vs BOQ</t>
  </si>
  <si>
    <t xml:space="preserve">Rate charged 995/m2 vs BOQ rate 950/m2 on 500 m2 billed.</t>
  </si>
  <si>
    <t xml:space="preserve">Overcharge = 500 x 45 = INR 22,500 + 18% GST 4,050 = INR 26,550</t>
  </si>
  <si>
    <t xml:space="preserve">E3</t>
  </si>
  <si>
    <t xml:space="preserve">RA Bill 3, Item 1 (Excavation)</t>
  </si>
  <si>
    <t xml:space="preserve">Cross-bill double-billing</t>
  </si>
  <si>
    <t xml:space="preserve">Cum. Qty (prev.) shown as 200 m3 but RA Bill 2 already certified cumulative 450 m3. Bill charges 300 m3 instead of 50 m3 -&gt; 250 m3 double-billed.</t>
  </si>
  <si>
    <t xml:space="preserve">Overcharge = 250 x 180 = INR 45,000 + 18% GST 8,100 = INR 53,100</t>
  </si>
  <si>
    <t xml:space="preserve">TOTAL LEAKAGE ACROSS 3 BILLS</t>
  </si>
  <si>
    <t xml:space="preserve">INR 1,96,650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</si>
</sst>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4" t="n">
        <v>500</v>
      </c>
      <c r="E5" s="5" t="n">
        <v>180</v>
      </c>
      <c r="F5" s="5" t="n">
        <f aca="false">D5*E5</f>
        <v>90000</v>
      </c>
      <c r="G5" s="6" t="n">
        <v>0.18</v>
      </c>
    </row>
    <row r="6" customFormat="false" ht="15" hidden="false" customHeight="false" outlineLevel="0" collapsed="false">
      <c r="A6" s="4" t="n">
        <v>2</v>
      </c>
      <c r="B6" s="4" t="s">
        <v>11</v>
      </c>
      <c r="C6" s="4" t="s">
        <v>10</v>
      </c>
      <c r="D6" s="4" t="n">
        <v>60</v>
      </c>
      <c r="E6" s="5" t="n">
        <v>4800</v>
      </c>
      <c r="F6" s="5" t="n">
        <f aca="false">D6*E6</f>
        <v>288000</v>
      </c>
      <c r="G6" s="6" t="n">
        <v>0.18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10</v>
      </c>
      <c r="D7" s="4" t="n">
        <v>120</v>
      </c>
      <c r="E7" s="5" t="n">
        <v>7200</v>
      </c>
      <c r="F7" s="5" t="n">
        <f aca="false">D7*E7</f>
        <v>864000</v>
      </c>
      <c r="G7" s="6" t="n">
        <v>0.18</v>
      </c>
    </row>
    <row r="8" customFormat="false" ht="15" hidden="false" customHeight="false" outlineLevel="0" collapsed="false">
      <c r="A8" s="4" t="n">
        <v>4</v>
      </c>
      <c r="B8" s="4" t="s">
        <v>13</v>
      </c>
      <c r="C8" s="4" t="s">
        <v>14</v>
      </c>
      <c r="D8" s="4" t="n">
        <v>40</v>
      </c>
      <c r="E8" s="5" t="n">
        <v>78000</v>
      </c>
      <c r="F8" s="5" t="n">
        <f aca="false">D8*E8</f>
        <v>3120000</v>
      </c>
      <c r="G8" s="6" t="n">
        <v>0.18</v>
      </c>
    </row>
    <row r="9" customFormat="false" ht="15" hidden="false" customHeight="false" outlineLevel="0" collapsed="false">
      <c r="A9" s="4" t="n">
        <v>5</v>
      </c>
      <c r="B9" s="4" t="s">
        <v>15</v>
      </c>
      <c r="C9" s="4" t="s">
        <v>16</v>
      </c>
      <c r="D9" s="4" t="n">
        <v>2000</v>
      </c>
      <c r="E9" s="5" t="n">
        <v>950</v>
      </c>
      <c r="F9" s="5" t="n">
        <f aca="false">D9*E9</f>
        <v>1900000</v>
      </c>
      <c r="G9" s="6" t="n">
        <v>0.18</v>
      </c>
    </row>
    <row r="10" customFormat="false" ht="15" hidden="false" customHeight="false" outlineLevel="0" collapsed="false">
      <c r="A10" s="4" t="n">
        <v>6</v>
      </c>
      <c r="B10" s="4" t="s">
        <v>17</v>
      </c>
      <c r="C10" s="4" t="s">
        <v>16</v>
      </c>
      <c r="D10" s="4" t="n">
        <v>4500</v>
      </c>
      <c r="E10" s="5" t="n">
        <v>210</v>
      </c>
      <c r="F10" s="5" t="n">
        <f aca="false">D10*E10</f>
        <v>945000</v>
      </c>
      <c r="G10" s="6" t="n">
        <v>0.18</v>
      </c>
    </row>
    <row r="11" customFormat="false" ht="15" hidden="false" customHeight="false" outlineLevel="0" collapsed="false">
      <c r="A11" s="4" t="n">
        <v>7</v>
      </c>
      <c r="B11" s="4" t="s">
        <v>18</v>
      </c>
      <c r="C11" s="4" t="s">
        <v>16</v>
      </c>
      <c r="D11" s="4" t="n">
        <v>2800</v>
      </c>
      <c r="E11" s="5" t="n">
        <v>260</v>
      </c>
      <c r="F11" s="5" t="n">
        <f aca="false">D11*E11</f>
        <v>728000</v>
      </c>
      <c r="G11" s="6" t="n">
        <v>0.18</v>
      </c>
    </row>
    <row r="12" customFormat="false" ht="15" hidden="false" customHeight="false" outlineLevel="0" collapsed="false">
      <c r="A12" s="4" t="n">
        <v>8</v>
      </c>
      <c r="B12" s="4" t="s">
        <v>19</v>
      </c>
      <c r="C12" s="4" t="s">
        <v>16</v>
      </c>
      <c r="D12" s="4" t="n">
        <v>1800</v>
      </c>
      <c r="E12" s="5" t="n">
        <v>1150</v>
      </c>
      <c r="F12" s="5" t="n">
        <f aca="false">D12*E12</f>
        <v>2070000</v>
      </c>
      <c r="G12" s="6" t="n">
        <v>0.18</v>
      </c>
    </row>
    <row r="13" customFormat="false" ht="15" hidden="false" customHeight="false" outlineLevel="0" collapsed="false">
      <c r="A13" s="4" t="n">
        <v>9</v>
      </c>
      <c r="B13" s="4" t="s">
        <v>20</v>
      </c>
      <c r="C13" s="4" t="s">
        <v>16</v>
      </c>
      <c r="D13" s="4" t="n">
        <v>600</v>
      </c>
      <c r="E13" s="5" t="n">
        <v>480</v>
      </c>
      <c r="F13" s="5" t="n">
        <f aca="false">D13*E13</f>
        <v>288000</v>
      </c>
      <c r="G13" s="6" t="n">
        <v>0.18</v>
      </c>
    </row>
    <row r="14" customFormat="false" ht="15" hidden="false" customHeight="false" outlineLevel="0" collapsed="false">
      <c r="A14" s="4" t="n">
        <v>10</v>
      </c>
      <c r="B14" s="4" t="s">
        <v>21</v>
      </c>
      <c r="C14" s="4" t="s">
        <v>16</v>
      </c>
      <c r="D14" s="4" t="n">
        <v>350</v>
      </c>
      <c r="E14" s="5" t="n">
        <v>4200</v>
      </c>
      <c r="F14" s="5" t="n">
        <f aca="false">D14*E14</f>
        <v>1470000</v>
      </c>
      <c r="G14" s="6" t="n">
        <v>0.18</v>
      </c>
    </row>
    <row r="15" customFormat="false" ht="15" hidden="false" customHeight="false" outlineLevel="0" collapsed="false">
      <c r="A15" s="4" t="n">
        <v>11</v>
      </c>
      <c r="B15" s="4" t="s">
        <v>22</v>
      </c>
      <c r="C15" s="4" t="s">
        <v>23</v>
      </c>
      <c r="D15" s="4" t="n">
        <v>80</v>
      </c>
      <c r="E15" s="5" t="n">
        <v>6500</v>
      </c>
      <c r="F15" s="5" t="n">
        <f aca="false">D15*E15</f>
        <v>520000</v>
      </c>
      <c r="G15" s="6" t="n">
        <v>0.18</v>
      </c>
    </row>
    <row r="16" customFormat="false" ht="15" hidden="false" customHeight="false" outlineLevel="0" collapsed="false">
      <c r="A16" s="4" t="n">
        <v>12</v>
      </c>
      <c r="B16" s="4" t="s">
        <v>24</v>
      </c>
      <c r="C16" s="4" t="s">
        <v>16</v>
      </c>
      <c r="D16" s="4" t="n">
        <v>6000</v>
      </c>
      <c r="E16" s="5" t="n">
        <v>95</v>
      </c>
      <c r="F16" s="5" t="n">
        <f aca="false">D16*E16</f>
        <v>570000</v>
      </c>
      <c r="G16" s="6" t="n">
        <v>0.18</v>
      </c>
    </row>
    <row r="17" customFormat="false" ht="15" hidden="false" customHeight="false" outlineLevel="0" collapsed="false">
      <c r="A17" s="4" t="n">
        <v>13</v>
      </c>
      <c r="B17" s="4" t="s">
        <v>25</v>
      </c>
      <c r="C17" s="4" t="s">
        <v>23</v>
      </c>
      <c r="D17" s="4" t="n">
        <v>750</v>
      </c>
      <c r="E17" s="5" t="n">
        <v>850</v>
      </c>
      <c r="F17" s="5" t="n">
        <f aca="false">D17*E17</f>
        <v>637500</v>
      </c>
      <c r="G17" s="6" t="n">
        <v>0.18</v>
      </c>
    </row>
    <row r="18" customFormat="false" ht="15" hidden="false" customHeight="false" outlineLevel="0" collapsed="false">
      <c r="A18" s="4" t="n">
        <v>14</v>
      </c>
      <c r="B18" s="4" t="s">
        <v>26</v>
      </c>
      <c r="C18" s="4" t="s">
        <v>27</v>
      </c>
      <c r="D18" s="4" t="n">
        <v>1200</v>
      </c>
      <c r="E18" s="5" t="n">
        <v>320</v>
      </c>
      <c r="F18" s="5" t="n">
        <f aca="false">D18*E18</f>
        <v>384000</v>
      </c>
      <c r="G18" s="6" t="n">
        <v>0.18</v>
      </c>
    </row>
    <row r="19" customFormat="false" ht="15" hidden="false" customHeight="false" outlineLevel="0" collapsed="false">
      <c r="A19" s="4" t="n">
        <v>15</v>
      </c>
      <c r="B19" s="4" t="s">
        <v>28</v>
      </c>
      <c r="C19" s="4" t="s">
        <v>29</v>
      </c>
      <c r="D19" s="4" t="n">
        <v>2500</v>
      </c>
      <c r="E19" s="5" t="n">
        <v>380</v>
      </c>
      <c r="F19" s="5" t="n">
        <f aca="false">D19*E19</f>
        <v>950000</v>
      </c>
      <c r="G19" s="6" t="n">
        <v>0.28</v>
      </c>
    </row>
    <row r="20" customFormat="false" ht="15" hidden="false" customHeight="false" outlineLevel="0" collapsed="false">
      <c r="A20" s="7"/>
      <c r="B20" s="8" t="s">
        <v>30</v>
      </c>
      <c r="C20" s="7"/>
      <c r="D20" s="7"/>
      <c r="E20" s="7"/>
      <c r="F20" s="9" t="n">
        <f aca="false">SUM(F5:F19)</f>
        <v>14824500</v>
      </c>
      <c r="G2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3.85" hidden="false" customHeight="false" outlineLevel="0" collapsed="false">
      <c r="A4" s="10" t="s">
        <v>2</v>
      </c>
      <c r="B4" s="10" t="s">
        <v>3</v>
      </c>
      <c r="C4" s="10" t="s">
        <v>4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7</v>
      </c>
      <c r="J4" s="10" t="s">
        <v>8</v>
      </c>
      <c r="K4" s="10" t="s">
        <v>38</v>
      </c>
      <c r="L4" s="10" t="s">
        <v>39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5" t="n">
        <v>180</v>
      </c>
      <c r="E5" s="4" t="n">
        <v>0</v>
      </c>
      <c r="F5" s="4" t="n">
        <v>200</v>
      </c>
      <c r="G5" s="4" t="n">
        <f aca="false">F5-E5</f>
        <v>200</v>
      </c>
      <c r="H5" s="5" t="n">
        <v>180</v>
      </c>
      <c r="I5" s="5" t="n">
        <f aca="false">G5*H5</f>
        <v>36000</v>
      </c>
      <c r="J5" s="6" t="n">
        <v>0.18</v>
      </c>
      <c r="K5" s="5" t="n">
        <f aca="false">I5*J5</f>
        <v>6480</v>
      </c>
      <c r="L5" s="5" t="n">
        <f aca="false">I5+K5</f>
        <v>42480</v>
      </c>
    </row>
    <row r="6" customFormat="false" ht="15" hidden="false" customHeight="false" outlineLevel="0" collapsed="false">
      <c r="A6" s="4" t="n">
        <v>2</v>
      </c>
      <c r="B6" s="4" t="s">
        <v>11</v>
      </c>
      <c r="C6" s="4" t="s">
        <v>10</v>
      </c>
      <c r="D6" s="5" t="n">
        <v>4800</v>
      </c>
      <c r="E6" s="4" t="n">
        <v>0</v>
      </c>
      <c r="F6" s="4" t="n">
        <v>40</v>
      </c>
      <c r="G6" s="4" t="n">
        <f aca="false">F6-E6</f>
        <v>40</v>
      </c>
      <c r="H6" s="5" t="n">
        <v>4800</v>
      </c>
      <c r="I6" s="5" t="n">
        <f aca="false">G6*H6</f>
        <v>192000</v>
      </c>
      <c r="J6" s="6" t="n">
        <v>0.18</v>
      </c>
      <c r="K6" s="5" t="n">
        <f aca="false">I6*J6</f>
        <v>34560</v>
      </c>
      <c r="L6" s="5" t="n">
        <f aca="false">I6+K6</f>
        <v>226560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10</v>
      </c>
      <c r="D7" s="5" t="n">
        <v>7200</v>
      </c>
      <c r="E7" s="4" t="n">
        <v>0</v>
      </c>
      <c r="F7" s="4" t="n">
        <v>50</v>
      </c>
      <c r="G7" s="4" t="n">
        <f aca="false">F7-E7</f>
        <v>50</v>
      </c>
      <c r="H7" s="5" t="n">
        <v>7200</v>
      </c>
      <c r="I7" s="5" t="n">
        <f aca="false">G7*H7</f>
        <v>360000</v>
      </c>
      <c r="J7" s="6" t="n">
        <v>0.18</v>
      </c>
      <c r="K7" s="5" t="n">
        <f aca="false">I7*J7</f>
        <v>64800</v>
      </c>
      <c r="L7" s="5" t="n">
        <f aca="false">I7+K7</f>
        <v>424800</v>
      </c>
    </row>
    <row r="8" customFormat="false" ht="15" hidden="false" customHeight="false" outlineLevel="0" collapsed="false">
      <c r="A8" s="4" t="n">
        <v>4</v>
      </c>
      <c r="B8" s="4" t="s">
        <v>13</v>
      </c>
      <c r="C8" s="4" t="s">
        <v>14</v>
      </c>
      <c r="D8" s="5" t="n">
        <v>78000</v>
      </c>
      <c r="E8" s="4" t="n">
        <v>0</v>
      </c>
      <c r="F8" s="4" t="n">
        <v>15</v>
      </c>
      <c r="G8" s="4" t="n">
        <f aca="false">F8-E8</f>
        <v>15</v>
      </c>
      <c r="H8" s="5" t="n">
        <v>78000</v>
      </c>
      <c r="I8" s="5" t="n">
        <f aca="false">G8*H8</f>
        <v>1170000</v>
      </c>
      <c r="J8" s="6" t="n">
        <v>0.28</v>
      </c>
      <c r="K8" s="5" t="n">
        <f aca="false">I8*J8</f>
        <v>327600</v>
      </c>
      <c r="L8" s="5" t="n">
        <f aca="false">I8+K8</f>
        <v>1497600</v>
      </c>
    </row>
    <row r="9" customFormat="false" ht="15" hidden="false" customHeight="false" outlineLevel="0" collapsed="false">
      <c r="A9" s="4" t="n">
        <v>15</v>
      </c>
      <c r="B9" s="4" t="s">
        <v>28</v>
      </c>
      <c r="C9" s="4" t="s">
        <v>29</v>
      </c>
      <c r="D9" s="5" t="n">
        <v>380</v>
      </c>
      <c r="E9" s="4" t="n">
        <v>0</v>
      </c>
      <c r="F9" s="4" t="n">
        <v>800</v>
      </c>
      <c r="G9" s="4" t="n">
        <f aca="false">F9-E9</f>
        <v>800</v>
      </c>
      <c r="H9" s="5" t="n">
        <v>380</v>
      </c>
      <c r="I9" s="5" t="n">
        <f aca="false">G9*H9</f>
        <v>304000</v>
      </c>
      <c r="J9" s="6" t="n">
        <v>0.28</v>
      </c>
      <c r="K9" s="5" t="n">
        <f aca="false">I9*J9</f>
        <v>85120</v>
      </c>
      <c r="L9" s="5" t="n">
        <f aca="false">I9+K9</f>
        <v>389120</v>
      </c>
    </row>
    <row r="10" customFormat="false" ht="15" hidden="false" customHeight="false" outlineLevel="0" collapsed="false">
      <c r="A10" s="7"/>
      <c r="B10" s="8" t="s">
        <v>40</v>
      </c>
      <c r="C10" s="7"/>
      <c r="D10" s="7"/>
      <c r="E10" s="7"/>
      <c r="F10" s="7"/>
      <c r="G10" s="7"/>
      <c r="H10" s="7"/>
      <c r="I10" s="9" t="n">
        <f aca="false">SUM(I5:I9)</f>
        <v>2062000</v>
      </c>
      <c r="J10" s="7"/>
      <c r="K10" s="9" t="n">
        <f aca="false">SUM(K5:K9)</f>
        <v>518560</v>
      </c>
      <c r="L10" s="9" t="n">
        <f aca="false">SUM(L5:L9)</f>
        <v>2580560</v>
      </c>
    </row>
    <row r="12" customFormat="false" ht="15" hidden="false" customHeight="false" outlineLevel="0" collapsed="false">
      <c r="A12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23.85" hidden="false" customHeight="false" outlineLevel="0" collapsed="false">
      <c r="A4" s="10" t="s">
        <v>2</v>
      </c>
      <c r="B4" s="10" t="s">
        <v>3</v>
      </c>
      <c r="C4" s="10" t="s">
        <v>4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7</v>
      </c>
      <c r="J4" s="10" t="s">
        <v>8</v>
      </c>
      <c r="K4" s="10" t="s">
        <v>38</v>
      </c>
      <c r="L4" s="10" t="s">
        <v>39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5" t="n">
        <v>180</v>
      </c>
      <c r="E5" s="4" t="n">
        <v>200</v>
      </c>
      <c r="F5" s="4" t="n">
        <v>450</v>
      </c>
      <c r="G5" s="4" t="n">
        <f aca="false">F5-E5</f>
        <v>250</v>
      </c>
      <c r="H5" s="5" t="n">
        <v>180</v>
      </c>
      <c r="I5" s="5" t="n">
        <f aca="false">G5*H5</f>
        <v>45000</v>
      </c>
      <c r="J5" s="6" t="n">
        <v>0.18</v>
      </c>
      <c r="K5" s="5" t="n">
        <f aca="false">I5*J5</f>
        <v>8100</v>
      </c>
      <c r="L5" s="5" t="n">
        <f aca="false">I5+K5</f>
        <v>53100</v>
      </c>
    </row>
    <row r="6" customFormat="false" ht="15" hidden="false" customHeight="false" outlineLevel="0" collapsed="false">
      <c r="A6" s="4" t="n">
        <v>3</v>
      </c>
      <c r="B6" s="4" t="s">
        <v>12</v>
      </c>
      <c r="C6" s="4" t="s">
        <v>10</v>
      </c>
      <c r="D6" s="5" t="n">
        <v>7200</v>
      </c>
      <c r="E6" s="4" t="n">
        <v>50</v>
      </c>
      <c r="F6" s="4" t="n">
        <v>110</v>
      </c>
      <c r="G6" s="4" t="n">
        <f aca="false">F6-E6</f>
        <v>60</v>
      </c>
      <c r="H6" s="5" t="n">
        <v>7200</v>
      </c>
      <c r="I6" s="5" t="n">
        <f aca="false">G6*H6</f>
        <v>432000</v>
      </c>
      <c r="J6" s="6" t="n">
        <v>0.18</v>
      </c>
      <c r="K6" s="5" t="n">
        <f aca="false">I6*J6</f>
        <v>77760</v>
      </c>
      <c r="L6" s="5" t="n">
        <f aca="false">I6+K6</f>
        <v>509760</v>
      </c>
    </row>
    <row r="7" customFormat="false" ht="15" hidden="false" customHeight="false" outlineLevel="0" collapsed="false">
      <c r="A7" s="4" t="n">
        <v>4</v>
      </c>
      <c r="B7" s="4" t="s">
        <v>13</v>
      </c>
      <c r="C7" s="4" t="s">
        <v>14</v>
      </c>
      <c r="D7" s="5" t="n">
        <v>78000</v>
      </c>
      <c r="E7" s="4" t="n">
        <v>15</v>
      </c>
      <c r="F7" s="4" t="n">
        <v>28</v>
      </c>
      <c r="G7" s="4" t="n">
        <f aca="false">F7-E7</f>
        <v>13</v>
      </c>
      <c r="H7" s="5" t="n">
        <v>78000</v>
      </c>
      <c r="I7" s="5" t="n">
        <f aca="false">G7*H7</f>
        <v>1014000</v>
      </c>
      <c r="J7" s="6" t="n">
        <v>0.18</v>
      </c>
      <c r="K7" s="5" t="n">
        <f aca="false">I7*J7</f>
        <v>182520</v>
      </c>
      <c r="L7" s="5" t="n">
        <f aca="false">I7+K7</f>
        <v>1196520</v>
      </c>
    </row>
    <row r="8" customFormat="false" ht="15" hidden="false" customHeight="false" outlineLevel="0" collapsed="false">
      <c r="A8" s="4" t="n">
        <v>5</v>
      </c>
      <c r="B8" s="4" t="s">
        <v>15</v>
      </c>
      <c r="C8" s="4" t="s">
        <v>16</v>
      </c>
      <c r="D8" s="5" t="n">
        <v>950</v>
      </c>
      <c r="E8" s="4" t="n">
        <v>0</v>
      </c>
      <c r="F8" s="4" t="n">
        <v>500</v>
      </c>
      <c r="G8" s="4" t="n">
        <f aca="false">F8-E8</f>
        <v>500</v>
      </c>
      <c r="H8" s="5" t="n">
        <v>995</v>
      </c>
      <c r="I8" s="5" t="n">
        <f aca="false">G8*H8</f>
        <v>497500</v>
      </c>
      <c r="J8" s="6" t="n">
        <v>0.18</v>
      </c>
      <c r="K8" s="5" t="n">
        <f aca="false">I8*J8</f>
        <v>89550</v>
      </c>
      <c r="L8" s="5" t="n">
        <f aca="false">I8+K8</f>
        <v>587050</v>
      </c>
    </row>
    <row r="9" customFormat="false" ht="15" hidden="false" customHeight="false" outlineLevel="0" collapsed="false">
      <c r="A9" s="4" t="n">
        <v>15</v>
      </c>
      <c r="B9" s="4" t="s">
        <v>28</v>
      </c>
      <c r="C9" s="4" t="s">
        <v>29</v>
      </c>
      <c r="D9" s="5" t="n">
        <v>380</v>
      </c>
      <c r="E9" s="4" t="n">
        <v>800</v>
      </c>
      <c r="F9" s="4" t="n">
        <v>1500</v>
      </c>
      <c r="G9" s="4" t="n">
        <f aca="false">F9-E9</f>
        <v>700</v>
      </c>
      <c r="H9" s="5" t="n">
        <v>380</v>
      </c>
      <c r="I9" s="5" t="n">
        <f aca="false">G9*H9</f>
        <v>266000</v>
      </c>
      <c r="J9" s="6" t="n">
        <v>0.28</v>
      </c>
      <c r="K9" s="5" t="n">
        <f aca="false">I9*J9</f>
        <v>74480</v>
      </c>
      <c r="L9" s="5" t="n">
        <f aca="false">I9+K9</f>
        <v>340480</v>
      </c>
    </row>
    <row r="10" customFormat="false" ht="15" hidden="false" customHeight="false" outlineLevel="0" collapsed="false">
      <c r="A10" s="7"/>
      <c r="B10" s="8" t="s">
        <v>40</v>
      </c>
      <c r="C10" s="7"/>
      <c r="D10" s="7"/>
      <c r="E10" s="7"/>
      <c r="F10" s="7"/>
      <c r="G10" s="7"/>
      <c r="H10" s="7"/>
      <c r="I10" s="9" t="n">
        <f aca="false">SUM(I5:I9)</f>
        <v>2254500</v>
      </c>
      <c r="J10" s="7"/>
      <c r="K10" s="9" t="n">
        <f aca="false">SUM(K5:K9)</f>
        <v>432410</v>
      </c>
      <c r="L10" s="9" t="n">
        <f aca="false">SUM(L5:L9)</f>
        <v>2686910</v>
      </c>
    </row>
    <row r="12" customFormat="false" ht="15" hidden="false" customHeight="false" outlineLevel="0" collapsed="false">
      <c r="A12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23.85" hidden="false" customHeight="false" outlineLevel="0" collapsed="false">
      <c r="A4" s="10" t="s">
        <v>2</v>
      </c>
      <c r="B4" s="10" t="s">
        <v>3</v>
      </c>
      <c r="C4" s="10" t="s">
        <v>4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7</v>
      </c>
      <c r="J4" s="10" t="s">
        <v>8</v>
      </c>
      <c r="K4" s="10" t="s">
        <v>38</v>
      </c>
      <c r="L4" s="10" t="s">
        <v>39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5" t="n">
        <v>180</v>
      </c>
      <c r="E5" s="4" t="n">
        <v>200</v>
      </c>
      <c r="F5" s="4" t="n">
        <v>500</v>
      </c>
      <c r="G5" s="4" t="n">
        <f aca="false">F5-E5</f>
        <v>300</v>
      </c>
      <c r="H5" s="5" t="n">
        <v>180</v>
      </c>
      <c r="I5" s="5" t="n">
        <f aca="false">G5*H5</f>
        <v>54000</v>
      </c>
      <c r="J5" s="6" t="n">
        <v>0.18</v>
      </c>
      <c r="K5" s="5" t="n">
        <f aca="false">I5*J5</f>
        <v>9720</v>
      </c>
      <c r="L5" s="5" t="n">
        <f aca="false">I5+K5</f>
        <v>63720</v>
      </c>
    </row>
    <row r="6" customFormat="false" ht="15" hidden="false" customHeight="false" outlineLevel="0" collapsed="false">
      <c r="A6" s="4" t="n">
        <v>3</v>
      </c>
      <c r="B6" s="4" t="s">
        <v>12</v>
      </c>
      <c r="C6" s="4" t="s">
        <v>10</v>
      </c>
      <c r="D6" s="5" t="n">
        <v>7200</v>
      </c>
      <c r="E6" s="4" t="n">
        <v>110</v>
      </c>
      <c r="F6" s="4" t="n">
        <v>120</v>
      </c>
      <c r="G6" s="4" t="n">
        <f aca="false">F6-E6</f>
        <v>10</v>
      </c>
      <c r="H6" s="5" t="n">
        <v>7200</v>
      </c>
      <c r="I6" s="5" t="n">
        <f aca="false">G6*H6</f>
        <v>72000</v>
      </c>
      <c r="J6" s="6" t="n">
        <v>0.18</v>
      </c>
      <c r="K6" s="5" t="n">
        <f aca="false">I6*J6</f>
        <v>12960</v>
      </c>
      <c r="L6" s="5" t="n">
        <f aca="false">I6+K6</f>
        <v>84960</v>
      </c>
    </row>
    <row r="7" customFormat="false" ht="15" hidden="false" customHeight="false" outlineLevel="0" collapsed="false">
      <c r="A7" s="4" t="n">
        <v>5</v>
      </c>
      <c r="B7" s="4" t="s">
        <v>15</v>
      </c>
      <c r="C7" s="4" t="s">
        <v>16</v>
      </c>
      <c r="D7" s="5" t="n">
        <v>950</v>
      </c>
      <c r="E7" s="4" t="n">
        <v>500</v>
      </c>
      <c r="F7" s="4" t="n">
        <v>1200</v>
      </c>
      <c r="G7" s="4" t="n">
        <f aca="false">F7-E7</f>
        <v>700</v>
      </c>
      <c r="H7" s="5" t="n">
        <v>950</v>
      </c>
      <c r="I7" s="5" t="n">
        <f aca="false">G7*H7</f>
        <v>665000</v>
      </c>
      <c r="J7" s="6" t="n">
        <v>0.18</v>
      </c>
      <c r="K7" s="5" t="n">
        <f aca="false">I7*J7</f>
        <v>119700</v>
      </c>
      <c r="L7" s="5" t="n">
        <f aca="false">I7+K7</f>
        <v>784700</v>
      </c>
    </row>
    <row r="8" customFormat="false" ht="15" hidden="false" customHeight="false" outlineLevel="0" collapsed="false">
      <c r="A8" s="4" t="n">
        <v>6</v>
      </c>
      <c r="B8" s="4" t="s">
        <v>17</v>
      </c>
      <c r="C8" s="4" t="s">
        <v>16</v>
      </c>
      <c r="D8" s="5" t="n">
        <v>210</v>
      </c>
      <c r="E8" s="4" t="n">
        <v>0</v>
      </c>
      <c r="F8" s="4" t="n">
        <v>800</v>
      </c>
      <c r="G8" s="4" t="n">
        <f aca="false">F8-E8</f>
        <v>800</v>
      </c>
      <c r="H8" s="5" t="n">
        <v>210</v>
      </c>
      <c r="I8" s="5" t="n">
        <f aca="false">G8*H8</f>
        <v>168000</v>
      </c>
      <c r="J8" s="6" t="n">
        <v>0.18</v>
      </c>
      <c r="K8" s="5" t="n">
        <f aca="false">I8*J8</f>
        <v>30240</v>
      </c>
      <c r="L8" s="5" t="n">
        <f aca="false">I8+K8</f>
        <v>198240</v>
      </c>
    </row>
    <row r="9" customFormat="false" ht="15" hidden="false" customHeight="false" outlineLevel="0" collapsed="false">
      <c r="A9" s="7"/>
      <c r="B9" s="8" t="s">
        <v>40</v>
      </c>
      <c r="C9" s="7"/>
      <c r="D9" s="7"/>
      <c r="E9" s="7"/>
      <c r="F9" s="7"/>
      <c r="G9" s="7"/>
      <c r="H9" s="7"/>
      <c r="I9" s="9" t="n">
        <f aca="false">SUM(I5:I8)</f>
        <v>959000</v>
      </c>
      <c r="J9" s="7"/>
      <c r="K9" s="9" t="n">
        <f aca="false">SUM(K5:K8)</f>
        <v>172620</v>
      </c>
      <c r="L9" s="9" t="n">
        <f aca="false">SUM(L5:L8)</f>
        <v>1131620</v>
      </c>
    </row>
    <row r="11" customFormat="false" ht="15" hidden="false" customHeight="false" outlineLevel="0" collapsed="false">
      <c r="A11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38"/>
  </cols>
  <sheetData>
    <row r="1" customFormat="false" ht="16.15" hidden="false" customHeight="false" outlineLevel="0" collapsed="false">
      <c r="A1" s="1" t="s">
        <v>48</v>
      </c>
    </row>
    <row r="3" customFormat="false" ht="15" hidden="false" customHeight="false" outlineLevel="0" collapsed="false">
      <c r="A3" s="11" t="s">
        <v>49</v>
      </c>
      <c r="B3" s="11" t="s">
        <v>50</v>
      </c>
      <c r="C3" s="11" t="s">
        <v>51</v>
      </c>
      <c r="D3" s="11" t="s">
        <v>52</v>
      </c>
      <c r="E3" s="11" t="s">
        <v>53</v>
      </c>
    </row>
    <row r="4" customFormat="false" ht="23.85" hidden="false" customHeight="false" outlineLevel="0" collapsed="false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</row>
    <row r="5" customFormat="false" ht="23.85" hidden="false" customHeight="false" outlineLevel="0" collapsed="false">
      <c r="A5" s="12" t="s">
        <v>59</v>
      </c>
      <c r="B5" s="12" t="s">
        <v>60</v>
      </c>
      <c r="C5" s="12" t="s">
        <v>61</v>
      </c>
      <c r="D5" s="12" t="s">
        <v>62</v>
      </c>
      <c r="E5" s="12" t="s">
        <v>63</v>
      </c>
    </row>
    <row r="6" customFormat="false" ht="35.05" hidden="false" customHeight="false" outlineLevel="0" collapsed="false">
      <c r="A6" s="12" t="s">
        <v>64</v>
      </c>
      <c r="B6" s="12" t="s">
        <v>65</v>
      </c>
      <c r="C6" s="12" t="s">
        <v>66</v>
      </c>
      <c r="D6" s="12" t="s">
        <v>67</v>
      </c>
      <c r="E6" s="12" t="s">
        <v>68</v>
      </c>
    </row>
    <row r="7" customFormat="false" ht="15" hidden="false" customHeight="false" outlineLevel="0" collapsed="false">
      <c r="A7" s="13"/>
      <c r="B7" s="13"/>
      <c r="C7" s="13"/>
      <c r="D7" s="14" t="s">
        <v>69</v>
      </c>
      <c r="E7" s="1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2026-07-02T13:30:58Z</dcterms:created>
  <dc:creator>openpyxl</dc:creator>
  <dc:description/>
  <dc:language>en-US</dc:language>
  <cp:lastModifiedBy/>
  <dcterms:modified xsi:type="dcterms:W3CDTF">2026-07-02T13:30:58Z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