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RSHITA MANAV\Downloads\ContractGuard\docs\"/>
    </mc:Choice>
  </mc:AlternateContent>
  <xr:revisionPtr revIDLastSave="0" documentId="13_ncr:1_{A20AD0CF-FFD4-45BB-AC74-4F6312B0C169}" xr6:coauthVersionLast="47" xr6:coauthVersionMax="47" xr10:uidLastSave="{00000000-0000-0000-0000-000000000000}"/>
  <bookViews>
    <workbookView xWindow="-108" yWindow="-108" windowWidth="23256" windowHeight="13896" tabRatio="500" activeTab="3" xr2:uid="{00000000-000D-0000-FFFF-FFFF00000000}"/>
  </bookViews>
  <sheets>
    <sheet name="BOQ" sheetId="1" r:id="rId1"/>
    <sheet name="RA Bill 1" sheetId="2" r:id="rId2"/>
    <sheet name="RA Bill 2" sheetId="3" r:id="rId3"/>
    <sheet name="RA Bill 3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8" i="4" l="1"/>
  <c r="I8" i="4" s="1"/>
  <c r="G7" i="4"/>
  <c r="I7" i="4" s="1"/>
  <c r="G6" i="4"/>
  <c r="I6" i="4" s="1"/>
  <c r="G5" i="4"/>
  <c r="I5" i="4" s="1"/>
  <c r="G9" i="3"/>
  <c r="I9" i="3" s="1"/>
  <c r="G8" i="3"/>
  <c r="I8" i="3" s="1"/>
  <c r="G7" i="3"/>
  <c r="I7" i="3" s="1"/>
  <c r="I6" i="3"/>
  <c r="G6" i="3"/>
  <c r="G5" i="3"/>
  <c r="I5" i="3" s="1"/>
  <c r="I9" i="2"/>
  <c r="K9" i="2" s="1"/>
  <c r="G9" i="2"/>
  <c r="G8" i="2"/>
  <c r="I8" i="2" s="1"/>
  <c r="G7" i="2"/>
  <c r="I7" i="2" s="1"/>
  <c r="G6" i="2"/>
  <c r="I6" i="2" s="1"/>
  <c r="I5" i="2"/>
  <c r="G5" i="2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20" i="1" s="1"/>
  <c r="K7" i="3" l="1"/>
  <c r="L7" i="3" s="1"/>
  <c r="K9" i="3"/>
  <c r="L9" i="3"/>
  <c r="K5" i="4"/>
  <c r="I9" i="4"/>
  <c r="L5" i="4"/>
  <c r="K6" i="4"/>
  <c r="L6" i="4" s="1"/>
  <c r="K7" i="4"/>
  <c r="L7" i="4"/>
  <c r="K6" i="2"/>
  <c r="L6" i="2" s="1"/>
  <c r="K7" i="2"/>
  <c r="L7" i="2" s="1"/>
  <c r="K8" i="2"/>
  <c r="L8" i="2" s="1"/>
  <c r="K5" i="3"/>
  <c r="L5" i="3"/>
  <c r="I10" i="3"/>
  <c r="K8" i="3"/>
  <c r="L8" i="3" s="1"/>
  <c r="K8" i="4"/>
  <c r="L8" i="4" s="1"/>
  <c r="I10" i="2"/>
  <c r="K6" i="3"/>
  <c r="L6" i="3" s="1"/>
  <c r="K5" i="2"/>
  <c r="L9" i="2"/>
  <c r="L9" i="4" l="1"/>
  <c r="L10" i="3"/>
  <c r="K10" i="2"/>
  <c r="K10" i="3"/>
  <c r="L5" i="2"/>
  <c r="L10" i="2" s="1"/>
  <c r="K9" i="4"/>
</calcChain>
</file>

<file path=xl/sharedStrings.xml><?xml version="1.0" encoding="utf-8"?>
<sst xmlns="http://schemas.openxmlformats.org/spreadsheetml/2006/main" count="116" uniqueCount="48">
  <si>
    <t>BILL OF QUANTITIES (BOQ)</t>
  </si>
  <si>
    <t>Project: Shree Balaji Residency, Block B  |  Contractor: M/s Verma Constructions  |  Agreement No. SBR/2026/014  |  Date: 15-Mar-2026</t>
  </si>
  <si>
    <t>Item</t>
  </si>
  <si>
    <t>Description</t>
  </si>
  <si>
    <t>Unit</t>
  </si>
  <si>
    <t>BOQ Qty</t>
  </si>
  <si>
    <t>Rate (INR)</t>
  </si>
  <si>
    <t>Amount (INR)</t>
  </si>
  <si>
    <t>GST %</t>
  </si>
  <si>
    <t>Earthwork excavation in foundation</t>
  </si>
  <si>
    <t>m3</t>
  </si>
  <si>
    <t>PCC 1:4:8 in foundation</t>
  </si>
  <si>
    <t>RCC M25 in footings &amp; columns</t>
  </si>
  <si>
    <t>Steel reinforcement Fe500</t>
  </si>
  <si>
    <t>MT</t>
  </si>
  <si>
    <t>Brickwork 230 mm in CM 1:6</t>
  </si>
  <si>
    <t>m2</t>
  </si>
  <si>
    <t>Internal plaster 12 mm</t>
  </si>
  <si>
    <t>External plaster 18 mm</t>
  </si>
  <si>
    <t>Vitrified tile flooring 600x600</t>
  </si>
  <si>
    <t>Terrace waterproofing (membrane)</t>
  </si>
  <si>
    <t>Aluminium sliding windows</t>
  </si>
  <si>
    <t>Flush doors incl. frame &amp; fittings</t>
  </si>
  <si>
    <t>Nos</t>
  </si>
  <si>
    <t>Interior painting, 2 coats emulsion</t>
  </si>
  <si>
    <t>Electrical wiring points (concealed)</t>
  </si>
  <si>
    <t>CPVC water supply piping</t>
  </si>
  <si>
    <t>m</t>
  </si>
  <si>
    <t>Supply of OPC 43 grade cement</t>
  </si>
  <si>
    <t>Bags</t>
  </si>
  <si>
    <t>TOTAL (excl. GST)</t>
  </si>
  <si>
    <t>RUNNING ACCOUNT BILL — RA BILL No. 1</t>
  </si>
  <si>
    <t>Project: Shree Balaji Residency, Block B  |  Contractor: M/s Verma Constructions  |  Bill Date: 31-Mar-2026</t>
  </si>
  <si>
    <t>BOQ Rate</t>
  </si>
  <si>
    <t>Cum. Qty (prev.)</t>
  </si>
  <si>
    <t>Cum. Qty (to date)</t>
  </si>
  <si>
    <t>Qty This Bill</t>
  </si>
  <si>
    <t>Rate Charged</t>
  </si>
  <si>
    <t>GST Amt (INR)</t>
  </si>
  <si>
    <t>Line Total (INR)</t>
  </si>
  <si>
    <t>BILL TOTAL</t>
  </si>
  <si>
    <t>Certified by Site Engineer. Measurement Book Ref: MB-01/2026.</t>
  </si>
  <si>
    <t>RUNNING ACCOUNT BILL — RA BILL No. 2</t>
  </si>
  <si>
    <t>Project: Shree Balaji Residency, Block B  |  Contractor: M/s Verma Constructions  |  Bill Date: 30-Apr-2026</t>
  </si>
  <si>
    <t>Certified by Site Engineer. Measurement Book Ref: MB-02/2026.</t>
  </si>
  <si>
    <t>RUNNING ACCOUNT BILL — RA BILL No. 3</t>
  </si>
  <si>
    <t>Project: Shree Balaji Residency, Block B  |  Contractor: M/s Verma Constructions  |  Bill Date: 31-May-2026</t>
  </si>
  <si>
    <t>Certified by Site Engineer. Measurement Book Ref: MB-03/2026.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</si>
</sst>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i/>
      <sz val="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/>
    <xf numFmtId="4" fontId="4" fillId="0" borderId="1" xfId="0" applyNumberFormat="1" applyFont="1" applyBorder="1"/>
    <xf numFmtId="9" fontId="4" fillId="0" borderId="1" xfId="0" applyNumberFormat="1" applyFont="1" applyBorder="1"/>
    <xf numFmtId="0" fontId="0" fillId="3" borderId="1" xfId="0" applyFill="1" applyBorder="1"/>
    <xf numFmtId="0" fontId="5" fillId="3" borderId="1" xfId="0" applyFont="1" applyFill="1" applyBorder="1"/>
    <xf numFmtId="4" fontId="5" fillId="3" borderId="1" xfId="0" applyNumberFormat="1" applyFont="1" applyFill="1" applyBorder="1"/>
    <xf numFmtId="0" fontId="3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zoomScaleNormal="100" workbookViewId="0"/>
  </sheetViews>
  <sheetFormatPr defaultColWidth="8.6640625" defaultRowHeight="14.4" x14ac:dyDescent="0.3"/>
  <cols>
    <col min="1" max="1" width="7" customWidth="1"/>
    <col min="2" max="2" width="38" customWidth="1"/>
    <col min="3" max="3" width="7" customWidth="1"/>
    <col min="4" max="4" width="10" customWidth="1"/>
    <col min="5" max="5" width="12" customWidth="1"/>
    <col min="6" max="6" width="15" customWidth="1"/>
    <col min="7" max="7" width="8" customWidth="1"/>
  </cols>
  <sheetData>
    <row r="1" spans="1:7" ht="16.8" x14ac:dyDescent="0.3">
      <c r="A1" s="1" t="s">
        <v>0</v>
      </c>
    </row>
    <row r="2" spans="1:7" x14ac:dyDescent="0.3">
      <c r="A2" s="2" t="s">
        <v>1</v>
      </c>
    </row>
    <row r="4" spans="1:7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3">
      <c r="A5" s="4">
        <v>1</v>
      </c>
      <c r="B5" s="4" t="s">
        <v>9</v>
      </c>
      <c r="C5" s="4" t="s">
        <v>10</v>
      </c>
      <c r="D5" s="4">
        <v>500</v>
      </c>
      <c r="E5" s="5">
        <v>180</v>
      </c>
      <c r="F5" s="5">
        <f t="shared" ref="F5:F19" si="0">D5*E5</f>
        <v>90000</v>
      </c>
      <c r="G5" s="6">
        <v>0.18</v>
      </c>
    </row>
    <row r="6" spans="1:7" x14ac:dyDescent="0.3">
      <c r="A6" s="4">
        <v>2</v>
      </c>
      <c r="B6" s="4" t="s">
        <v>11</v>
      </c>
      <c r="C6" s="4" t="s">
        <v>10</v>
      </c>
      <c r="D6" s="4">
        <v>60</v>
      </c>
      <c r="E6" s="5">
        <v>4800</v>
      </c>
      <c r="F6" s="5">
        <f t="shared" si="0"/>
        <v>288000</v>
      </c>
      <c r="G6" s="6">
        <v>0.18</v>
      </c>
    </row>
    <row r="7" spans="1:7" x14ac:dyDescent="0.3">
      <c r="A7" s="4">
        <v>3</v>
      </c>
      <c r="B7" s="4" t="s">
        <v>12</v>
      </c>
      <c r="C7" s="4" t="s">
        <v>10</v>
      </c>
      <c r="D7" s="4">
        <v>120</v>
      </c>
      <c r="E7" s="5">
        <v>7200</v>
      </c>
      <c r="F7" s="5">
        <f t="shared" si="0"/>
        <v>864000</v>
      </c>
      <c r="G7" s="6">
        <v>0.18</v>
      </c>
    </row>
    <row r="8" spans="1:7" x14ac:dyDescent="0.3">
      <c r="A8" s="4">
        <v>4</v>
      </c>
      <c r="B8" s="4" t="s">
        <v>13</v>
      </c>
      <c r="C8" s="4" t="s">
        <v>14</v>
      </c>
      <c r="D8" s="4">
        <v>40</v>
      </c>
      <c r="E8" s="5">
        <v>78000</v>
      </c>
      <c r="F8" s="5">
        <f t="shared" si="0"/>
        <v>3120000</v>
      </c>
      <c r="G8" s="6">
        <v>0.18</v>
      </c>
    </row>
    <row r="9" spans="1:7" x14ac:dyDescent="0.3">
      <c r="A9" s="4">
        <v>5</v>
      </c>
      <c r="B9" s="4" t="s">
        <v>15</v>
      </c>
      <c r="C9" s="4" t="s">
        <v>16</v>
      </c>
      <c r="D9" s="4">
        <v>2000</v>
      </c>
      <c r="E9" s="5">
        <v>950</v>
      </c>
      <c r="F9" s="5">
        <f t="shared" si="0"/>
        <v>1900000</v>
      </c>
      <c r="G9" s="6">
        <v>0.18</v>
      </c>
    </row>
    <row r="10" spans="1:7" x14ac:dyDescent="0.3">
      <c r="A10" s="4">
        <v>6</v>
      </c>
      <c r="B10" s="4" t="s">
        <v>17</v>
      </c>
      <c r="C10" s="4" t="s">
        <v>16</v>
      </c>
      <c r="D10" s="4">
        <v>4500</v>
      </c>
      <c r="E10" s="5">
        <v>210</v>
      </c>
      <c r="F10" s="5">
        <f t="shared" si="0"/>
        <v>945000</v>
      </c>
      <c r="G10" s="6">
        <v>0.18</v>
      </c>
    </row>
    <row r="11" spans="1:7" x14ac:dyDescent="0.3">
      <c r="A11" s="4">
        <v>7</v>
      </c>
      <c r="B11" s="4" t="s">
        <v>18</v>
      </c>
      <c r="C11" s="4" t="s">
        <v>16</v>
      </c>
      <c r="D11" s="4">
        <v>2800</v>
      </c>
      <c r="E11" s="5">
        <v>260</v>
      </c>
      <c r="F11" s="5">
        <f t="shared" si="0"/>
        <v>728000</v>
      </c>
      <c r="G11" s="6">
        <v>0.18</v>
      </c>
    </row>
    <row r="12" spans="1:7" x14ac:dyDescent="0.3">
      <c r="A12" s="4">
        <v>8</v>
      </c>
      <c r="B12" s="4" t="s">
        <v>19</v>
      </c>
      <c r="C12" s="4" t="s">
        <v>16</v>
      </c>
      <c r="D12" s="4">
        <v>1800</v>
      </c>
      <c r="E12" s="5">
        <v>1150</v>
      </c>
      <c r="F12" s="5">
        <f t="shared" si="0"/>
        <v>2070000</v>
      </c>
      <c r="G12" s="6">
        <v>0.18</v>
      </c>
    </row>
    <row r="13" spans="1:7" x14ac:dyDescent="0.3">
      <c r="A13" s="4">
        <v>9</v>
      </c>
      <c r="B13" s="4" t="s">
        <v>20</v>
      </c>
      <c r="C13" s="4" t="s">
        <v>16</v>
      </c>
      <c r="D13" s="4">
        <v>600</v>
      </c>
      <c r="E13" s="5">
        <v>480</v>
      </c>
      <c r="F13" s="5">
        <f t="shared" si="0"/>
        <v>288000</v>
      </c>
      <c r="G13" s="6">
        <v>0.18</v>
      </c>
    </row>
    <row r="14" spans="1:7" x14ac:dyDescent="0.3">
      <c r="A14" s="4">
        <v>10</v>
      </c>
      <c r="B14" s="4" t="s">
        <v>21</v>
      </c>
      <c r="C14" s="4" t="s">
        <v>16</v>
      </c>
      <c r="D14" s="4">
        <v>350</v>
      </c>
      <c r="E14" s="5">
        <v>4200</v>
      </c>
      <c r="F14" s="5">
        <f t="shared" si="0"/>
        <v>1470000</v>
      </c>
      <c r="G14" s="6">
        <v>0.18</v>
      </c>
    </row>
    <row r="15" spans="1:7" x14ac:dyDescent="0.3">
      <c r="A15" s="4">
        <v>11</v>
      </c>
      <c r="B15" s="4" t="s">
        <v>22</v>
      </c>
      <c r="C15" s="4" t="s">
        <v>23</v>
      </c>
      <c r="D15" s="4">
        <v>80</v>
      </c>
      <c r="E15" s="5">
        <v>6500</v>
      </c>
      <c r="F15" s="5">
        <f t="shared" si="0"/>
        <v>520000</v>
      </c>
      <c r="G15" s="6">
        <v>0.18</v>
      </c>
    </row>
    <row r="16" spans="1:7" x14ac:dyDescent="0.3">
      <c r="A16" s="4">
        <v>12</v>
      </c>
      <c r="B16" s="4" t="s">
        <v>24</v>
      </c>
      <c r="C16" s="4" t="s">
        <v>16</v>
      </c>
      <c r="D16" s="4">
        <v>6000</v>
      </c>
      <c r="E16" s="5">
        <v>95</v>
      </c>
      <c r="F16" s="5">
        <f t="shared" si="0"/>
        <v>570000</v>
      </c>
      <c r="G16" s="6">
        <v>0.18</v>
      </c>
    </row>
    <row r="17" spans="1:7" x14ac:dyDescent="0.3">
      <c r="A17" s="4">
        <v>13</v>
      </c>
      <c r="B17" s="4" t="s">
        <v>25</v>
      </c>
      <c r="C17" s="4" t="s">
        <v>23</v>
      </c>
      <c r="D17" s="4">
        <v>750</v>
      </c>
      <c r="E17" s="5">
        <v>850</v>
      </c>
      <c r="F17" s="5">
        <f t="shared" si="0"/>
        <v>637500</v>
      </c>
      <c r="G17" s="6">
        <v>0.18</v>
      </c>
    </row>
    <row r="18" spans="1:7" x14ac:dyDescent="0.3">
      <c r="A18" s="4">
        <v>14</v>
      </c>
      <c r="B18" s="4" t="s">
        <v>26</v>
      </c>
      <c r="C18" s="4" t="s">
        <v>27</v>
      </c>
      <c r="D18" s="4">
        <v>1200</v>
      </c>
      <c r="E18" s="5">
        <v>320</v>
      </c>
      <c r="F18" s="5">
        <f t="shared" si="0"/>
        <v>384000</v>
      </c>
      <c r="G18" s="6">
        <v>0.18</v>
      </c>
    </row>
    <row r="19" spans="1:7" x14ac:dyDescent="0.3">
      <c r="A19" s="4">
        <v>15</v>
      </c>
      <c r="B19" s="4" t="s">
        <v>28</v>
      </c>
      <c r="C19" s="4" t="s">
        <v>29</v>
      </c>
      <c r="D19" s="4">
        <v>2500</v>
      </c>
      <c r="E19" s="5">
        <v>380</v>
      </c>
      <c r="F19" s="5">
        <f t="shared" si="0"/>
        <v>950000</v>
      </c>
      <c r="G19" s="6">
        <v>0.28000000000000003</v>
      </c>
    </row>
    <row r="20" spans="1:7" x14ac:dyDescent="0.3">
      <c r="A20" s="7"/>
      <c r="B20" s="8" t="s">
        <v>30</v>
      </c>
      <c r="C20" s="7"/>
      <c r="D20" s="7"/>
      <c r="E20" s="7"/>
      <c r="F20" s="9">
        <f>SUM(F5:F19)</f>
        <v>14824500</v>
      </c>
      <c r="G20" s="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zoomScaleNormal="100" workbookViewId="0"/>
  </sheetViews>
  <sheetFormatPr defaultColWidth="8.6640625" defaultRowHeight="14.4" x14ac:dyDescent="0.3"/>
  <cols>
    <col min="1" max="1" width="7" customWidth="1"/>
    <col min="2" max="2" width="34" customWidth="1"/>
    <col min="3" max="3" width="7" customWidth="1"/>
    <col min="4" max="4" width="11" customWidth="1"/>
    <col min="5" max="6" width="12" customWidth="1"/>
    <col min="7" max="7" width="11" customWidth="1"/>
    <col min="8" max="8" width="12" customWidth="1"/>
    <col min="9" max="9" width="14" customWidth="1"/>
    <col min="10" max="10" width="8" customWidth="1"/>
    <col min="11" max="11" width="13" customWidth="1"/>
    <col min="12" max="12" width="14" customWidth="1"/>
  </cols>
  <sheetData>
    <row r="1" spans="1:12" ht="16.8" x14ac:dyDescent="0.3">
      <c r="A1" s="1" t="s">
        <v>31</v>
      </c>
    </row>
    <row r="2" spans="1:12" x14ac:dyDescent="0.3">
      <c r="A2" s="2" t="s">
        <v>32</v>
      </c>
    </row>
    <row r="4" spans="1:12" ht="26.4" x14ac:dyDescent="0.3">
      <c r="A4" s="10" t="s">
        <v>2</v>
      </c>
      <c r="B4" s="10" t="s">
        <v>3</v>
      </c>
      <c r="C4" s="10" t="s">
        <v>4</v>
      </c>
      <c r="D4" s="10" t="s">
        <v>33</v>
      </c>
      <c r="E4" s="10" t="s">
        <v>34</v>
      </c>
      <c r="F4" s="10" t="s">
        <v>35</v>
      </c>
      <c r="G4" s="10" t="s">
        <v>36</v>
      </c>
      <c r="H4" s="10" t="s">
        <v>37</v>
      </c>
      <c r="I4" s="10" t="s">
        <v>7</v>
      </c>
      <c r="J4" s="10" t="s">
        <v>8</v>
      </c>
      <c r="K4" s="10" t="s">
        <v>38</v>
      </c>
      <c r="L4" s="10" t="s">
        <v>39</v>
      </c>
    </row>
    <row r="5" spans="1:12" x14ac:dyDescent="0.3">
      <c r="A5" s="4">
        <v>1</v>
      </c>
      <c r="B5" s="4" t="s">
        <v>9</v>
      </c>
      <c r="C5" s="4" t="s">
        <v>10</v>
      </c>
      <c r="D5" s="5">
        <v>180</v>
      </c>
      <c r="E5" s="4">
        <v>0</v>
      </c>
      <c r="F5" s="4">
        <v>200</v>
      </c>
      <c r="G5" s="4">
        <f>F5-E5</f>
        <v>200</v>
      </c>
      <c r="H5" s="5">
        <v>180</v>
      </c>
      <c r="I5" s="5">
        <f>G5*H5</f>
        <v>36000</v>
      </c>
      <c r="J5" s="6">
        <v>0.18</v>
      </c>
      <c r="K5" s="5">
        <f>I5*J5</f>
        <v>6480</v>
      </c>
      <c r="L5" s="5">
        <f>I5+K5</f>
        <v>42480</v>
      </c>
    </row>
    <row r="6" spans="1:12" x14ac:dyDescent="0.3">
      <c r="A6" s="4">
        <v>2</v>
      </c>
      <c r="B6" s="4" t="s">
        <v>11</v>
      </c>
      <c r="C6" s="4" t="s">
        <v>10</v>
      </c>
      <c r="D6" s="5">
        <v>4800</v>
      </c>
      <c r="E6" s="4">
        <v>0</v>
      </c>
      <c r="F6" s="4">
        <v>40</v>
      </c>
      <c r="G6" s="4">
        <f>F6-E6</f>
        <v>40</v>
      </c>
      <c r="H6" s="5">
        <v>4800</v>
      </c>
      <c r="I6" s="5">
        <f>G6*H6</f>
        <v>192000</v>
      </c>
      <c r="J6" s="6">
        <v>0.18</v>
      </c>
      <c r="K6" s="5">
        <f>I6*J6</f>
        <v>34560</v>
      </c>
      <c r="L6" s="5">
        <f>I6+K6</f>
        <v>226560</v>
      </c>
    </row>
    <row r="7" spans="1:12" x14ac:dyDescent="0.3">
      <c r="A7" s="4">
        <v>3</v>
      </c>
      <c r="B7" s="4" t="s">
        <v>12</v>
      </c>
      <c r="C7" s="4" t="s">
        <v>10</v>
      </c>
      <c r="D7" s="5">
        <v>7200</v>
      </c>
      <c r="E7" s="4">
        <v>0</v>
      </c>
      <c r="F7" s="4">
        <v>50</v>
      </c>
      <c r="G7" s="4">
        <f>F7-E7</f>
        <v>50</v>
      </c>
      <c r="H7" s="5">
        <v>7200</v>
      </c>
      <c r="I7" s="5">
        <f>G7*H7</f>
        <v>360000</v>
      </c>
      <c r="J7" s="6">
        <v>0.18</v>
      </c>
      <c r="K7" s="5">
        <f>I7*J7</f>
        <v>64800</v>
      </c>
      <c r="L7" s="5">
        <f>I7+K7</f>
        <v>424800</v>
      </c>
    </row>
    <row r="8" spans="1:12" x14ac:dyDescent="0.3">
      <c r="A8" s="4">
        <v>4</v>
      </c>
      <c r="B8" s="4" t="s">
        <v>13</v>
      </c>
      <c r="C8" s="4" t="s">
        <v>14</v>
      </c>
      <c r="D8" s="5">
        <v>78000</v>
      </c>
      <c r="E8" s="4">
        <v>0</v>
      </c>
      <c r="F8" s="4">
        <v>15</v>
      </c>
      <c r="G8" s="4">
        <f>F8-E8</f>
        <v>15</v>
      </c>
      <c r="H8" s="5">
        <v>78000</v>
      </c>
      <c r="I8" s="5">
        <f>G8*H8</f>
        <v>1170000</v>
      </c>
      <c r="J8" s="6">
        <v>0.28000000000000003</v>
      </c>
      <c r="K8" s="5">
        <f>I8*J8</f>
        <v>327600.00000000006</v>
      </c>
      <c r="L8" s="5">
        <f>I8+K8</f>
        <v>1497600</v>
      </c>
    </row>
    <row r="9" spans="1:12" x14ac:dyDescent="0.3">
      <c r="A9" s="4">
        <v>15</v>
      </c>
      <c r="B9" s="4" t="s">
        <v>28</v>
      </c>
      <c r="C9" s="4" t="s">
        <v>29</v>
      </c>
      <c r="D9" s="5">
        <v>380</v>
      </c>
      <c r="E9" s="4">
        <v>0</v>
      </c>
      <c r="F9" s="4">
        <v>800</v>
      </c>
      <c r="G9" s="4">
        <f>F9-E9</f>
        <v>800</v>
      </c>
      <c r="H9" s="5">
        <v>380</v>
      </c>
      <c r="I9" s="5">
        <f>G9*H9</f>
        <v>304000</v>
      </c>
      <c r="J9" s="6">
        <v>0.28000000000000003</v>
      </c>
      <c r="K9" s="5">
        <f>I9*J9</f>
        <v>85120.000000000015</v>
      </c>
      <c r="L9" s="5">
        <f>I9+K9</f>
        <v>389120</v>
      </c>
    </row>
    <row r="10" spans="1:12" x14ac:dyDescent="0.3">
      <c r="A10" s="7"/>
      <c r="B10" s="8" t="s">
        <v>40</v>
      </c>
      <c r="C10" s="7"/>
      <c r="D10" s="7"/>
      <c r="E10" s="7"/>
      <c r="F10" s="7"/>
      <c r="G10" s="7"/>
      <c r="H10" s="7"/>
      <c r="I10" s="9">
        <f>SUM(I5:I9)</f>
        <v>2062000</v>
      </c>
      <c r="J10" s="7"/>
      <c r="K10" s="9">
        <f>SUM(K5:K9)</f>
        <v>518560.00000000006</v>
      </c>
      <c r="L10" s="9">
        <f>SUM(L5:L9)</f>
        <v>2580560</v>
      </c>
    </row>
    <row r="12" spans="1:12" x14ac:dyDescent="0.3">
      <c r="A12" s="2" t="s">
        <v>41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"/>
  <sheetViews>
    <sheetView zoomScaleNormal="100" workbookViewId="0"/>
  </sheetViews>
  <sheetFormatPr defaultColWidth="8.6640625" defaultRowHeight="14.4" x14ac:dyDescent="0.3"/>
  <cols>
    <col min="1" max="1" width="7" customWidth="1"/>
    <col min="2" max="2" width="34" customWidth="1"/>
    <col min="3" max="3" width="7" customWidth="1"/>
    <col min="4" max="4" width="11" customWidth="1"/>
    <col min="5" max="6" width="12" customWidth="1"/>
    <col min="7" max="7" width="11" customWidth="1"/>
    <col min="8" max="8" width="12" customWidth="1"/>
    <col min="9" max="9" width="14" customWidth="1"/>
    <col min="10" max="10" width="8" customWidth="1"/>
    <col min="11" max="11" width="13" customWidth="1"/>
    <col min="12" max="12" width="14" customWidth="1"/>
  </cols>
  <sheetData>
    <row r="1" spans="1:12" ht="16.8" x14ac:dyDescent="0.3">
      <c r="A1" s="1" t="s">
        <v>42</v>
      </c>
    </row>
    <row r="2" spans="1:12" x14ac:dyDescent="0.3">
      <c r="A2" s="2" t="s">
        <v>43</v>
      </c>
    </row>
    <row r="4" spans="1:12" ht="26.4" x14ac:dyDescent="0.3">
      <c r="A4" s="10" t="s">
        <v>2</v>
      </c>
      <c r="B4" s="10" t="s">
        <v>3</v>
      </c>
      <c r="C4" s="10" t="s">
        <v>4</v>
      </c>
      <c r="D4" s="10" t="s">
        <v>33</v>
      </c>
      <c r="E4" s="10" t="s">
        <v>34</v>
      </c>
      <c r="F4" s="10" t="s">
        <v>35</v>
      </c>
      <c r="G4" s="10" t="s">
        <v>36</v>
      </c>
      <c r="H4" s="10" t="s">
        <v>37</v>
      </c>
      <c r="I4" s="10" t="s">
        <v>7</v>
      </c>
      <c r="J4" s="10" t="s">
        <v>8</v>
      </c>
      <c r="K4" s="10" t="s">
        <v>38</v>
      </c>
      <c r="L4" s="10" t="s">
        <v>39</v>
      </c>
    </row>
    <row r="5" spans="1:12" x14ac:dyDescent="0.3">
      <c r="A5" s="4">
        <v>1</v>
      </c>
      <c r="B5" s="4" t="s">
        <v>9</v>
      </c>
      <c r="C5" s="4" t="s">
        <v>10</v>
      </c>
      <c r="D5" s="5">
        <v>180</v>
      </c>
      <c r="E5" s="4">
        <v>200</v>
      </c>
      <c r="F5" s="4">
        <v>450</v>
      </c>
      <c r="G5" s="4">
        <f>F5-E5</f>
        <v>250</v>
      </c>
      <c r="H5" s="5">
        <v>180</v>
      </c>
      <c r="I5" s="5">
        <f>G5*H5</f>
        <v>45000</v>
      </c>
      <c r="J5" s="6">
        <v>0.18</v>
      </c>
      <c r="K5" s="5">
        <f>I5*J5</f>
        <v>8100</v>
      </c>
      <c r="L5" s="5">
        <f>I5+K5</f>
        <v>53100</v>
      </c>
    </row>
    <row r="6" spans="1:12" x14ac:dyDescent="0.3">
      <c r="A6" s="4">
        <v>3</v>
      </c>
      <c r="B6" s="4" t="s">
        <v>12</v>
      </c>
      <c r="C6" s="4" t="s">
        <v>10</v>
      </c>
      <c r="D6" s="5">
        <v>7200</v>
      </c>
      <c r="E6" s="4">
        <v>50</v>
      </c>
      <c r="F6" s="4">
        <v>110</v>
      </c>
      <c r="G6" s="4">
        <f>F6-E6</f>
        <v>60</v>
      </c>
      <c r="H6" s="5">
        <v>7200</v>
      </c>
      <c r="I6" s="5">
        <f>G6*H6</f>
        <v>432000</v>
      </c>
      <c r="J6" s="6">
        <v>0.18</v>
      </c>
      <c r="K6" s="5">
        <f>I6*J6</f>
        <v>77760</v>
      </c>
      <c r="L6" s="5">
        <f>I6+K6</f>
        <v>509760</v>
      </c>
    </row>
    <row r="7" spans="1:12" x14ac:dyDescent="0.3">
      <c r="A7" s="4">
        <v>4</v>
      </c>
      <c r="B7" s="4" t="s">
        <v>13</v>
      </c>
      <c r="C7" s="4" t="s">
        <v>14</v>
      </c>
      <c r="D7" s="5">
        <v>78000</v>
      </c>
      <c r="E7" s="4">
        <v>15</v>
      </c>
      <c r="F7" s="4">
        <v>28</v>
      </c>
      <c r="G7" s="4">
        <f>F7-E7</f>
        <v>13</v>
      </c>
      <c r="H7" s="5">
        <v>78000</v>
      </c>
      <c r="I7" s="5">
        <f>G7*H7</f>
        <v>1014000</v>
      </c>
      <c r="J7" s="6">
        <v>0.18</v>
      </c>
      <c r="K7" s="5">
        <f>I7*J7</f>
        <v>182520</v>
      </c>
      <c r="L7" s="5">
        <f>I7+K7</f>
        <v>1196520</v>
      </c>
    </row>
    <row r="8" spans="1:12" x14ac:dyDescent="0.3">
      <c r="A8" s="4">
        <v>5</v>
      </c>
      <c r="B8" s="4" t="s">
        <v>15</v>
      </c>
      <c r="C8" s="4" t="s">
        <v>16</v>
      </c>
      <c r="D8" s="5">
        <v>950</v>
      </c>
      <c r="E8" s="4">
        <v>0</v>
      </c>
      <c r="F8" s="4">
        <v>500</v>
      </c>
      <c r="G8" s="4">
        <f>F8-E8</f>
        <v>500</v>
      </c>
      <c r="H8" s="5">
        <v>995</v>
      </c>
      <c r="I8" s="5">
        <f>G8*H8</f>
        <v>497500</v>
      </c>
      <c r="J8" s="6">
        <v>0.18</v>
      </c>
      <c r="K8" s="5">
        <f>I8*J8</f>
        <v>89550</v>
      </c>
      <c r="L8" s="5">
        <f>I8+K8</f>
        <v>587050</v>
      </c>
    </row>
    <row r="9" spans="1:12" x14ac:dyDescent="0.3">
      <c r="A9" s="4">
        <v>15</v>
      </c>
      <c r="B9" s="4" t="s">
        <v>28</v>
      </c>
      <c r="C9" s="4" t="s">
        <v>29</v>
      </c>
      <c r="D9" s="5">
        <v>380</v>
      </c>
      <c r="E9" s="4">
        <v>800</v>
      </c>
      <c r="F9" s="4">
        <v>1500</v>
      </c>
      <c r="G9" s="4">
        <f>F9-E9</f>
        <v>700</v>
      </c>
      <c r="H9" s="5">
        <v>380</v>
      </c>
      <c r="I9" s="5">
        <f>G9*H9</f>
        <v>266000</v>
      </c>
      <c r="J9" s="6">
        <v>0.28000000000000003</v>
      </c>
      <c r="K9" s="5">
        <f>I9*J9</f>
        <v>74480</v>
      </c>
      <c r="L9" s="5">
        <f>I9+K9</f>
        <v>340480</v>
      </c>
    </row>
    <row r="10" spans="1:12" x14ac:dyDescent="0.3">
      <c r="A10" s="7"/>
      <c r="B10" s="8" t="s">
        <v>40</v>
      </c>
      <c r="C10" s="7"/>
      <c r="D10" s="7"/>
      <c r="E10" s="7"/>
      <c r="F10" s="7"/>
      <c r="G10" s="7"/>
      <c r="H10" s="7"/>
      <c r="I10" s="9">
        <f>SUM(I5:I9)</f>
        <v>2254500</v>
      </c>
      <c r="J10" s="7"/>
      <c r="K10" s="9">
        <f>SUM(K5:K9)</f>
        <v>432410</v>
      </c>
      <c r="L10" s="9">
        <f>SUM(L5:L9)</f>
        <v>2686910</v>
      </c>
    </row>
    <row r="12" spans="1:12" x14ac:dyDescent="0.3">
      <c r="A12" s="2" t="s">
        <v>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1"/>
  <sheetViews>
    <sheetView tabSelected="1" zoomScaleNormal="100" workbookViewId="0"/>
  </sheetViews>
  <sheetFormatPr defaultColWidth="8.6640625" defaultRowHeight="14.4" x14ac:dyDescent="0.3"/>
  <cols>
    <col min="1" max="1" width="7" customWidth="1"/>
    <col min="2" max="2" width="34" customWidth="1"/>
    <col min="3" max="3" width="7" customWidth="1"/>
    <col min="4" max="4" width="11" customWidth="1"/>
    <col min="5" max="6" width="12" customWidth="1"/>
    <col min="7" max="7" width="11" customWidth="1"/>
    <col min="8" max="8" width="12" customWidth="1"/>
    <col min="9" max="9" width="14" customWidth="1"/>
    <col min="10" max="10" width="8" customWidth="1"/>
    <col min="11" max="11" width="13" customWidth="1"/>
    <col min="12" max="12" width="14" customWidth="1"/>
  </cols>
  <sheetData>
    <row r="1" spans="1:12" ht="16.8" x14ac:dyDescent="0.3">
      <c r="A1" s="1" t="s">
        <v>45</v>
      </c>
    </row>
    <row r="2" spans="1:12" x14ac:dyDescent="0.3">
      <c r="A2" s="2" t="s">
        <v>46</v>
      </c>
    </row>
    <row r="4" spans="1:12" ht="26.4" x14ac:dyDescent="0.3">
      <c r="A4" s="10" t="s">
        <v>2</v>
      </c>
      <c r="B4" s="10" t="s">
        <v>3</v>
      </c>
      <c r="C4" s="10" t="s">
        <v>4</v>
      </c>
      <c r="D4" s="10" t="s">
        <v>33</v>
      </c>
      <c r="E4" s="10" t="s">
        <v>34</v>
      </c>
      <c r="F4" s="10" t="s">
        <v>35</v>
      </c>
      <c r="G4" s="10" t="s">
        <v>36</v>
      </c>
      <c r="H4" s="10" t="s">
        <v>37</v>
      </c>
      <c r="I4" s="10" t="s">
        <v>7</v>
      </c>
      <c r="J4" s="10" t="s">
        <v>8</v>
      </c>
      <c r="K4" s="10" t="s">
        <v>38</v>
      </c>
      <c r="L4" s="10" t="s">
        <v>39</v>
      </c>
    </row>
    <row r="5" spans="1:12" x14ac:dyDescent="0.3">
      <c r="A5" s="4">
        <v>1</v>
      </c>
      <c r="B5" s="4" t="s">
        <v>9</v>
      </c>
      <c r="C5" s="4" t="s">
        <v>10</v>
      </c>
      <c r="D5" s="5">
        <v>180</v>
      </c>
      <c r="E5" s="4">
        <v>200</v>
      </c>
      <c r="F5" s="4">
        <v>500</v>
      </c>
      <c r="G5" s="4">
        <f>F5-E5</f>
        <v>300</v>
      </c>
      <c r="H5" s="5">
        <v>180</v>
      </c>
      <c r="I5" s="5">
        <f>G5*H5</f>
        <v>54000</v>
      </c>
      <c r="J5" s="6">
        <v>0.18</v>
      </c>
      <c r="K5" s="5">
        <f>I5*J5</f>
        <v>9720</v>
      </c>
      <c r="L5" s="5">
        <f>I5+K5</f>
        <v>63720</v>
      </c>
    </row>
    <row r="6" spans="1:12" x14ac:dyDescent="0.3">
      <c r="A6" s="4">
        <v>3</v>
      </c>
      <c r="B6" s="4" t="s">
        <v>12</v>
      </c>
      <c r="C6" s="4" t="s">
        <v>10</v>
      </c>
      <c r="D6" s="5">
        <v>7200</v>
      </c>
      <c r="E6" s="4">
        <v>110</v>
      </c>
      <c r="F6" s="4">
        <v>120</v>
      </c>
      <c r="G6" s="4">
        <f>F6-E6</f>
        <v>10</v>
      </c>
      <c r="H6" s="5">
        <v>7200</v>
      </c>
      <c r="I6" s="5">
        <f>G6*H6</f>
        <v>72000</v>
      </c>
      <c r="J6" s="6">
        <v>0.18</v>
      </c>
      <c r="K6" s="5">
        <f>I6*J6</f>
        <v>12960</v>
      </c>
      <c r="L6" s="5">
        <f>I6+K6</f>
        <v>84960</v>
      </c>
    </row>
    <row r="7" spans="1:12" x14ac:dyDescent="0.3">
      <c r="A7" s="4">
        <v>5</v>
      </c>
      <c r="B7" s="4" t="s">
        <v>15</v>
      </c>
      <c r="C7" s="4" t="s">
        <v>16</v>
      </c>
      <c r="D7" s="5">
        <v>950</v>
      </c>
      <c r="E7" s="4">
        <v>500</v>
      </c>
      <c r="F7" s="4">
        <v>1200</v>
      </c>
      <c r="G7" s="4">
        <f>F7-E7</f>
        <v>700</v>
      </c>
      <c r="H7" s="5">
        <v>950</v>
      </c>
      <c r="I7" s="5">
        <f>G7*H7</f>
        <v>665000</v>
      </c>
      <c r="J7" s="6">
        <v>0.18</v>
      </c>
      <c r="K7" s="5">
        <f>I7*J7</f>
        <v>119700</v>
      </c>
      <c r="L7" s="5">
        <f>I7+K7</f>
        <v>784700</v>
      </c>
    </row>
    <row r="8" spans="1:12" x14ac:dyDescent="0.3">
      <c r="A8" s="4">
        <v>6</v>
      </c>
      <c r="B8" s="4" t="s">
        <v>17</v>
      </c>
      <c r="C8" s="4" t="s">
        <v>16</v>
      </c>
      <c r="D8" s="5">
        <v>210</v>
      </c>
      <c r="E8" s="4">
        <v>0</v>
      </c>
      <c r="F8" s="4">
        <v>800</v>
      </c>
      <c r="G8" s="4">
        <f>F8-E8</f>
        <v>800</v>
      </c>
      <c r="H8" s="5">
        <v>210</v>
      </c>
      <c r="I8" s="5">
        <f>G8*H8</f>
        <v>168000</v>
      </c>
      <c r="J8" s="6">
        <v>0.18</v>
      </c>
      <c r="K8" s="5">
        <f>I8*J8</f>
        <v>30240</v>
      </c>
      <c r="L8" s="5">
        <f>I8+K8</f>
        <v>198240</v>
      </c>
    </row>
    <row r="9" spans="1:12" x14ac:dyDescent="0.3">
      <c r="A9" s="7"/>
      <c r="B9" s="8" t="s">
        <v>40</v>
      </c>
      <c r="C9" s="7"/>
      <c r="D9" s="7"/>
      <c r="E9" s="7"/>
      <c r="F9" s="7"/>
      <c r="G9" s="7"/>
      <c r="H9" s="7"/>
      <c r="I9" s="9">
        <f>SUM(I5:I8)</f>
        <v>959000</v>
      </c>
      <c r="J9" s="7"/>
      <c r="K9" s="9">
        <f>SUM(K5:K8)</f>
        <v>172620</v>
      </c>
      <c r="L9" s="9">
        <f>SUM(L5:L8)</f>
        <v>1131620</v>
      </c>
    </row>
    <row r="11" spans="1:12" x14ac:dyDescent="0.3">
      <c r="A11" s="2" t="s">
        <v>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BOQ</vt:lpstr>
      <vt:lpstr>RA Bill 1</vt:lpstr>
      <vt:lpstr>RA Bill 2</vt:lpstr>
      <vt:lpstr>RA Bill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Harshita Manav</cp:lastModifiedBy>
  <cp:revision>0</cp:revision>
  <dcterms:created xsi:type="dcterms:W3CDTF">2026-07-02T13:30:58Z</dcterms:created>
  <dcterms:modified xsi:type="dcterms:W3CDTF">2026-07-10T06:54:32Z</dcterms:modified>
  <dc:language>en-US</dc:language>
</cp:coreProperties>
</file>